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Journal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9C0006"/>
    </font>
    <font>
      <b val="1"/>
      <color rgb="004472C4"/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4" customWidth="1" min="20" max="20"/>
    <col width="12" customWidth="1" min="21" max="21"/>
    <col width="12" customWidth="1" min="22" max="22"/>
    <col width="12" customWidth="1" min="23" max="23"/>
    <col width="12" customWidth="1" min="24" max="24"/>
    <col width="14" customWidth="1" min="25" max="25"/>
    <col width="14" customWidth="1" min="26" max="26"/>
    <col width="30" customWidth="1" min="27" max="27"/>
  </cols>
  <sheetData>
    <row r="1">
      <c r="A1" s="1" t="inlineStr">
        <is>
          <t>Trade #</t>
        </is>
      </c>
      <c r="B1" s="1" t="inlineStr">
        <is>
          <t>Дата и Время</t>
        </is>
      </c>
      <c r="C1" s="1" t="inlineStr">
        <is>
          <t>Пара</t>
        </is>
      </c>
      <c r="D1" s="1" t="inlineStr">
        <is>
          <t>Таймфрейм</t>
        </is>
      </c>
      <c r="E1" s="1" t="inlineStr">
        <is>
          <t>Направление</t>
        </is>
      </c>
      <c r="F1" s="1" t="inlineStr">
        <is>
          <t>Свеча Open</t>
        </is>
      </c>
      <c r="G1" s="1" t="inlineStr">
        <is>
          <t>Свеча High</t>
        </is>
      </c>
      <c r="H1" s="1" t="inlineStr">
        <is>
          <t>Свеча Low</t>
        </is>
      </c>
      <c r="I1" s="1" t="inlineStr">
        <is>
          <t>Свеча Close</t>
        </is>
      </c>
      <c r="J1" s="1" t="inlineStr">
        <is>
          <t>Размер свечи (%)</t>
        </is>
      </c>
      <c r="K1" s="1" t="inlineStr">
        <is>
          <t>Entry #1</t>
        </is>
      </c>
      <c r="L1" s="1" t="inlineStr">
        <is>
          <t>Entry #2</t>
        </is>
      </c>
      <c r="M1" s="1" t="inlineStr">
        <is>
          <t>Entry #3</t>
        </is>
      </c>
      <c r="N1" s="1" t="inlineStr">
        <is>
          <t>Stop Loss</t>
        </is>
      </c>
      <c r="O1" s="1" t="inlineStr">
        <is>
          <t>TP1</t>
        </is>
      </c>
      <c r="P1" s="1" t="inlineStr">
        <is>
          <t>TP2</t>
        </is>
      </c>
      <c r="Q1" s="1" t="inlineStr">
        <is>
          <t>TP3</t>
        </is>
      </c>
      <c r="R1" s="1" t="inlineStr">
        <is>
          <t>Entry #1 Filled</t>
        </is>
      </c>
      <c r="S1" s="1" t="inlineStr">
        <is>
          <t>Entry #2 Filled</t>
        </is>
      </c>
      <c r="T1" s="1" t="inlineStr">
        <is>
          <t>Entry #3 Filled</t>
        </is>
      </c>
      <c r="U1" s="1" t="inlineStr">
        <is>
          <t>TP1 Hit</t>
        </is>
      </c>
      <c r="V1" s="1" t="inlineStr">
        <is>
          <t>TP2 Hit</t>
        </is>
      </c>
      <c r="W1" s="1" t="inlineStr">
        <is>
          <t>TP3 Hit</t>
        </is>
      </c>
      <c r="X1" s="1" t="inlineStr">
        <is>
          <t>Stop Hit</t>
        </is>
      </c>
      <c r="Y1" s="1" t="inlineStr">
        <is>
          <t>Profit/Loss ($)</t>
        </is>
      </c>
      <c r="Z1" s="1" t="inlineStr">
        <is>
          <t>Profit/Loss (%)</t>
        </is>
      </c>
      <c r="AA1" s="1" t="inlineStr">
        <is>
          <t>Комментарий</t>
        </is>
      </c>
    </row>
    <row r="2">
      <c r="A2" s="2" t="n">
        <v>1</v>
      </c>
      <c r="B2" s="3" t="inlineStr">
        <is>
          <t>2024-02-04 10:00</t>
        </is>
      </c>
      <c r="C2" s="3" t="inlineStr">
        <is>
          <t>ETHUSDT</t>
        </is>
      </c>
      <c r="D2" s="3" t="inlineStr">
        <is>
          <t>1h</t>
        </is>
      </c>
      <c r="E2" s="2" t="inlineStr">
        <is>
          <t>LONG</t>
        </is>
      </c>
      <c r="F2" s="3" t="n">
        <v>93000</v>
      </c>
      <c r="G2" s="3" t="n">
        <v>93500</v>
      </c>
      <c r="H2" s="3" t="n">
        <v>93000</v>
      </c>
      <c r="I2" s="3" t="n">
        <v>93500</v>
      </c>
      <c r="J2" s="3">
        <f>((G2-H2)/H2)*100</f>
        <v/>
      </c>
      <c r="K2" s="3" t="n">
        <v>93500</v>
      </c>
      <c r="L2" s="3" t="n">
        <v>93250</v>
      </c>
      <c r="M2" s="3" t="n">
        <v>93191</v>
      </c>
      <c r="N2" s="3" t="n">
        <v>93090</v>
      </c>
      <c r="O2" s="3" t="n">
        <v>93809</v>
      </c>
      <c r="P2" s="3" t="n">
        <v>94309</v>
      </c>
      <c r="Q2" s="3" t="n">
        <v>94809</v>
      </c>
      <c r="R2" s="2" t="inlineStr">
        <is>
          <t>✓</t>
        </is>
      </c>
      <c r="S2" s="2" t="inlineStr">
        <is>
          <t>✓</t>
        </is>
      </c>
      <c r="T2" s="2" t="inlineStr">
        <is>
          <t>✓</t>
        </is>
      </c>
      <c r="U2" s="2" t="inlineStr">
        <is>
          <t>✓</t>
        </is>
      </c>
      <c r="V2" s="2" t="inlineStr">
        <is>
          <t>✓</t>
        </is>
      </c>
      <c r="W2" s="2" t="inlineStr">
        <is>
          <t>✓</t>
        </is>
      </c>
      <c r="X2" s="2" t="inlineStr">
        <is>
          <t>✗</t>
        </is>
      </c>
      <c r="Y2" s="4" t="inlineStr">
        <is>
          <t>+450.00</t>
        </is>
      </c>
      <c r="Z2" s="3" t="inlineStr">
        <is>
          <t>+4.83%</t>
        </is>
      </c>
      <c r="AA2" s="3" t="inlineStr">
        <is>
          <t>Все TP достигнуты</t>
        </is>
      </c>
    </row>
    <row r="3">
      <c r="A3" s="2" t="n">
        <v>2</v>
      </c>
      <c r="B3" s="3" t="inlineStr">
        <is>
          <t>2024-02-05 14:00</t>
        </is>
      </c>
      <c r="C3" s="3" t="inlineStr">
        <is>
          <t>BTCUSDT</t>
        </is>
      </c>
      <c r="D3" s="3" t="inlineStr">
        <is>
          <t>1h</t>
        </is>
      </c>
      <c r="E3" s="2" t="inlineStr">
        <is>
          <t>SHORT</t>
        </is>
      </c>
      <c r="F3" s="3" t="n">
        <v>42000</v>
      </c>
      <c r="G3" s="3" t="n">
        <v>42500</v>
      </c>
      <c r="H3" s="3" t="n">
        <v>42000</v>
      </c>
      <c r="I3" s="3" t="n">
        <v>42200</v>
      </c>
      <c r="J3" s="3">
        <f>((G3-H3)/H3)*100</f>
        <v/>
      </c>
      <c r="K3" s="3" t="n">
        <v>42000</v>
      </c>
      <c r="L3" s="3" t="n">
        <v>42250</v>
      </c>
      <c r="M3" s="3" t="n">
        <v>42309</v>
      </c>
      <c r="N3" s="3" t="n">
        <v>42410</v>
      </c>
      <c r="O3" s="3" t="n">
        <v>41691</v>
      </c>
      <c r="P3" s="3" t="n">
        <v>40691</v>
      </c>
      <c r="Q3" s="3" t="n">
        <v>39691</v>
      </c>
      <c r="R3" s="2" t="inlineStr">
        <is>
          <t>✓</t>
        </is>
      </c>
      <c r="S3" s="2" t="inlineStr">
        <is>
          <t>✓</t>
        </is>
      </c>
      <c r="T3" s="2" t="inlineStr">
        <is>
          <t>✗</t>
        </is>
      </c>
      <c r="U3" s="2" t="inlineStr">
        <is>
          <t>✗</t>
        </is>
      </c>
      <c r="V3" s="2" t="inlineStr">
        <is>
          <t>✗</t>
        </is>
      </c>
      <c r="W3" s="2" t="inlineStr">
        <is>
          <t>✗</t>
        </is>
      </c>
      <c r="X3" s="2" t="inlineStr">
        <is>
          <t>✓</t>
        </is>
      </c>
      <c r="Y3" s="5" t="inlineStr">
        <is>
          <t>-120.00</t>
        </is>
      </c>
      <c r="Z3" s="3" t="inlineStr">
        <is>
          <t>-1.27%</t>
        </is>
      </c>
      <c r="AA3" s="3" t="inlineStr">
        <is>
          <t>Сработал Stop Loss</t>
        </is>
      </c>
    </row>
    <row r="4">
      <c r="A4" s="2" t="n">
        <v>3</v>
      </c>
      <c r="B4" s="3" t="inlineStr">
        <is>
          <t>2024-02-10 09:30</t>
        </is>
      </c>
      <c r="C4" s="3" t="inlineStr">
        <is>
          <t>ETHUSDT</t>
        </is>
      </c>
      <c r="D4" s="3" t="inlineStr">
        <is>
          <t>4h</t>
        </is>
      </c>
      <c r="E4" s="2" t="inlineStr">
        <is>
          <t>LONG</t>
        </is>
      </c>
      <c r="F4" s="3" t="n">
        <v>2800</v>
      </c>
      <c r="G4" s="3" t="n">
        <v>2850</v>
      </c>
      <c r="H4" s="3" t="n">
        <v>2800</v>
      </c>
      <c r="I4" s="3" t="n">
        <v>2830</v>
      </c>
      <c r="J4" s="3">
        <f>((G4-H4)/H4)*100</f>
        <v/>
      </c>
      <c r="K4" s="3" t="n">
        <v>2850</v>
      </c>
      <c r="L4" s="3" t="n">
        <v>2825</v>
      </c>
      <c r="M4" s="3" t="n">
        <v>2819</v>
      </c>
      <c r="N4" s="3" t="n">
        <v>2809</v>
      </c>
      <c r="O4" s="3" t="n">
        <v>2881</v>
      </c>
      <c r="P4" s="3" t="n">
        <v>2931</v>
      </c>
      <c r="Q4" s="3" t="n">
        <v>2981</v>
      </c>
      <c r="R4" s="2" t="inlineStr">
        <is>
          <t>✓</t>
        </is>
      </c>
      <c r="S4" s="2" t="inlineStr">
        <is>
          <t>✓</t>
        </is>
      </c>
      <c r="T4" s="2" t="inlineStr">
        <is>
          <t>✓</t>
        </is>
      </c>
      <c r="U4" s="2" t="inlineStr">
        <is>
          <t>✓</t>
        </is>
      </c>
      <c r="V4" s="2" t="inlineStr">
        <is>
          <t>✗</t>
        </is>
      </c>
      <c r="W4" s="2" t="inlineStr">
        <is>
          <t>✗</t>
        </is>
      </c>
      <c r="X4" s="2" t="inlineStr">
        <is>
          <t>✗</t>
        </is>
      </c>
      <c r="Y4" s="4" t="inlineStr">
        <is>
          <t>+85.00</t>
        </is>
      </c>
      <c r="Z4" s="3" t="inlineStr">
        <is>
          <t>+0.91%</t>
        </is>
      </c>
      <c r="AA4" s="3" t="inlineStr">
        <is>
          <t>TP1 достигнут, остальное в безубыток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РАСШИРЕННЫЙ ШАБЛОН ЖУРНАЛА СДЕЛОК FIBONACCI</t>
        </is>
      </c>
    </row>
    <row r="2">
      <c r="A2" t="inlineStr"/>
    </row>
    <row r="3">
      <c r="A3" t="inlineStr">
        <is>
          <t>Этот шаблон содержит дополнительные колонки для информации о свечах:</t>
        </is>
      </c>
    </row>
    <row r="4">
      <c r="A4" t="inlineStr"/>
    </row>
    <row r="5">
      <c r="A5" s="7" t="inlineStr">
        <is>
          <t>ИНФОРМАЦИЯ О СВЕЧЕ:</t>
        </is>
      </c>
    </row>
    <row r="6">
      <c r="A6" t="inlineStr">
        <is>
          <t>- Свеча Open/High/Low/Close: OHLC данные выбранной свечи</t>
        </is>
      </c>
    </row>
    <row r="7">
      <c r="A7" t="inlineStr">
        <is>
          <t>- Размер свечи (%): Диапазон свечи в процентах от цены</t>
        </is>
      </c>
    </row>
    <row r="8">
      <c r="A8" t="inlineStr"/>
    </row>
    <row r="9">
      <c r="A9" s="7" t="inlineStr">
        <is>
          <t>FIBONACCI УРОВНИ:</t>
        </is>
      </c>
    </row>
    <row r="10">
      <c r="A10" t="inlineStr">
        <is>
          <t>- Entry #1, #2, #3: Рассчитанные уровни входа</t>
        </is>
      </c>
    </row>
    <row r="11">
      <c r="A11" t="inlineStr">
        <is>
          <t>- Stop Loss: Уровень остановки убытков (0.820)</t>
        </is>
      </c>
    </row>
    <row r="12">
      <c r="A12" t="inlineStr">
        <is>
          <t>- TP1, TP2, TP3: Уровни взятия прибыли</t>
        </is>
      </c>
    </row>
    <row r="13">
      <c r="A13" t="inlineStr"/>
    </row>
    <row r="14">
      <c r="A14" s="7" t="inlineStr">
        <is>
          <t>ИСПОЛНЕНИЕ:</t>
        </is>
      </c>
    </row>
    <row r="15">
      <c r="A15" t="inlineStr">
        <is>
          <t>- Entry #1/2/3 Filled: Был ли вход исполнен (✓ или ✗)</t>
        </is>
      </c>
    </row>
    <row r="16">
      <c r="A16" t="inlineStr">
        <is>
          <t>- TP1/2/3 Hit: Достигнут ли уровень Take Profit</t>
        </is>
      </c>
    </row>
    <row r="17">
      <c r="A17" t="inlineStr">
        <is>
          <t>- Stop Hit: Сработал ли Stop Loss</t>
        </is>
      </c>
    </row>
    <row r="18">
      <c r="A18" t="inlineStr"/>
    </row>
    <row r="19">
      <c r="A19" s="7" t="inlineStr">
        <is>
          <t>КАК ЗАПОЛНЯТЬ:</t>
        </is>
      </c>
    </row>
    <row r="20">
      <c r="A20" t="inlineStr"/>
    </row>
    <row r="21">
      <c r="A21" t="inlineStr">
        <is>
          <t>ВАРИАНТ 1: Вручную (из индикатора)</t>
        </is>
      </c>
    </row>
    <row r="22">
      <c r="A22" t="inlineStr">
        <is>
          <t>1. Откройте Fibonacci Calculator в TradingView</t>
        </is>
      </c>
    </row>
    <row r="23">
      <c r="A23" t="inlineStr">
        <is>
          <t>2. Посмотрите информационную таблицу с уровнями</t>
        </is>
      </c>
    </row>
    <row r="24">
      <c r="A24" t="inlineStr">
        <is>
          <t>3. Скопируйте OHLC свечи и уровни в этот шаблон</t>
        </is>
      </c>
    </row>
    <row r="25">
      <c r="A25" t="inlineStr">
        <is>
          <t>4. Отметьте какие ордера исполнены</t>
        </is>
      </c>
    </row>
    <row r="26">
      <c r="A26" t="inlineStr">
        <is>
          <t>5. Запишите результат (прибыль/убыток)</t>
        </is>
      </c>
    </row>
    <row r="27">
      <c r="A27" t="inlineStr"/>
    </row>
    <row r="28">
      <c r="A28" t="inlineStr">
        <is>
          <t>ВАРИАНТ 2: Из стратегии (автоматически)</t>
        </is>
      </c>
    </row>
    <row r="29">
      <c r="A29" t="inlineStr">
        <is>
          <t>1. Запустите Fibonacci Auto Strategy в TradingView</t>
        </is>
      </c>
    </row>
    <row r="30">
      <c r="A30" t="inlineStr">
        <is>
          <t>2. Откройте Strategy Tester -&gt; List of Trades</t>
        </is>
      </c>
    </row>
    <row r="31">
      <c r="A31" t="inlineStr">
        <is>
          <t>3. Экспортируйте в CSV</t>
        </is>
      </c>
    </row>
    <row r="32">
      <c r="A32" t="inlineStr">
        <is>
          <t>4. Импортируйте данные в Excel</t>
        </is>
      </c>
    </row>
    <row r="33">
      <c r="A33" t="inlineStr">
        <is>
          <t>5. Дополните OHLC данные из маркеров на графике</t>
        </is>
      </c>
    </row>
    <row r="34">
      <c r="A34" t="inlineStr"/>
    </row>
    <row r="35">
      <c r="A35" s="7" t="inlineStr">
        <is>
          <t>СТАТИСТИКА:</t>
        </is>
      </c>
    </row>
    <row r="36">
      <c r="A36" t="inlineStr"/>
    </row>
    <row r="37">
      <c r="A37" s="7" t="inlineStr">
        <is>
          <t>Вы можете добавить сводную таблицу для анализа:</t>
        </is>
      </c>
    </row>
    <row r="38">
      <c r="A38" t="inlineStr">
        <is>
          <t>- Всего сделок</t>
        </is>
      </c>
    </row>
    <row r="39">
      <c r="A39" t="inlineStr">
        <is>
          <t>- Успешных сделок (TP3)</t>
        </is>
      </c>
    </row>
    <row r="40">
      <c r="A40" t="inlineStr">
        <is>
          <t>- Стопов (Stop Loss)</t>
        </is>
      </c>
    </row>
    <row r="41">
      <c r="A41" t="inlineStr">
        <is>
          <t>- Средняя прибыль</t>
        </is>
      </c>
    </row>
    <row r="42">
      <c r="A42" t="inlineStr">
        <is>
          <t>- Win Rate (%)</t>
        </is>
      </c>
    </row>
    <row r="43">
      <c r="A43" t="inlineStr">
        <is>
          <t>- Profit Factor</t>
        </is>
      </c>
    </row>
    <row r="44">
      <c r="A44" t="inlineStr"/>
    </row>
    <row r="45">
      <c r="A45" s="7" t="inlineStr">
        <is>
          <t>СОВЕТЫ:</t>
        </is>
      </c>
    </row>
    <row r="46">
      <c r="A46" t="inlineStr"/>
    </row>
    <row r="47">
      <c r="A47" t="inlineStr">
        <is>
          <t>1. Используйте фильтры Excel для анализа по направлению (LONG/SHORT)</t>
        </is>
      </c>
    </row>
    <row r="48">
      <c r="A48" t="inlineStr">
        <is>
          <t>2. Сортируйте по прибыли чтобы найти лучшие/худшие сделки</t>
        </is>
      </c>
    </row>
    <row r="49">
      <c r="A49" t="inlineStr">
        <is>
          <t>3. Группируйте по торговой паре для сравнения</t>
        </is>
      </c>
    </row>
    <row r="50">
      <c r="A50" t="inlineStr">
        <is>
          <t>4. Анализируйте корреляцию между размером свечи и результатом</t>
        </is>
      </c>
    </row>
    <row r="51">
      <c r="A51" t="inlineStr">
        <is>
          <t>5. Сохраняйте резервные копии журнала!</t>
        </is>
      </c>
    </row>
    <row r="52">
      <c r="A52" t="inlineStr"/>
    </row>
    <row r="53">
      <c r="A53" t="inlineStr">
        <is>
          <t>Дата создания: 04.02.2024</t>
        </is>
      </c>
    </row>
    <row r="54">
      <c r="A54" t="inlineStr">
        <is>
          <t>Версия: 2.0 (Enhanced with Candle Info)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2026-02-04T10:17:38Z</dcterms:created>
  <dcterms:modified xmlns:dcterms="http://purl.org/dc/terms/" xmlns:xsi="http://www.w3.org/2001/XMLSchema-instance" xsi:type="dcterms:W3CDTF">2026-02-04T10:17:38Z</dcterms:modified>
</cp:coreProperties>
</file>